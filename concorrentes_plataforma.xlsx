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ia-me" sheetId="1" state="visible" r:id="rId3"/>
    <sheet name="Concorrentes" sheetId="2" state="visible" r:id="rId4"/>
    <sheet name="Funcionalidades" sheetId="3" state="visible" r:id="rId5"/>
    <sheet name="Premissas" sheetId="4" state="visible" r:id="rId6"/>
  </sheets>
  <definedNames>
    <definedName function="false" hidden="true" localSheetId="1" name="_xlnm._FilterDatabase" vbProcedure="false">Concorrentes!$A$1:$O$17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3" authorId="0">
      <text>
        <r>
          <rPr>
            <sz val="10"/>
            <rFont val="Arial"/>
            <family val="2"/>
          </rPr>
          <t xml:space="preserve">Valor assumido, não conferido em 06/10/2026. Atualize com a cotação do dia (PTAX do Banco Central).</t>
        </r>
      </text>
    </comment>
  </commentList>
</comments>
</file>

<file path=xl/sharedStrings.xml><?xml version="1.0" encoding="utf-8"?>
<sst xmlns="http://schemas.openxmlformats.org/spreadsheetml/2006/main" count="462" uniqueCount="191">
  <si>
    <t xml:space="preserve">Concorrentes: plataforma de flashcards</t>
  </si>
  <si>
    <t xml:space="preserve">Levantamento de 06/10/2026, feito a partir dos sites e lojas de apps. Preços mudam: confira antes de usar num pitch.</t>
  </si>
  <si>
    <t xml:space="preserve">Abas</t>
  </si>
  <si>
    <t xml:space="preserve">Concorrentes: quem é, quanto custa, pontos fortes, a brecha para nós e a fonte.</t>
  </si>
  <si>
    <t xml:space="preserve">Funcionalidades: matriz Sim / Parcial / Não / ? e, embaixo, quantos concorrentes têm cada recurso (fórmulas).</t>
  </si>
  <si>
    <t xml:space="preserve">Premissas: câmbio usado para converter preços em dólar.</t>
  </si>
  <si>
    <t xml:space="preserve">Legenda</t>
  </si>
  <si>
    <t xml:space="preserve">Texto azul = valor digitado à mão (preço, câmbio). Preto = fórmula.</t>
  </si>
  <si>
    <t xml:space="preserve">Fundo amarelo = premissa que você deve conferir/atualizar.</t>
  </si>
  <si>
    <t xml:space="preserve">? = não encontrei informação pública. Vale testar o app ou perguntar ao suporte.</t>
  </si>
  <si>
    <t xml:space="preserve">Coluna Confiança: Alta = site/loja oficial; Média = comparativo de terceiros ou avaliação sua anterior; Baixa = informação escassa.</t>
  </si>
  <si>
    <t xml:space="preserve">Para adicionar um concorrente</t>
  </si>
  <si>
    <t xml:space="preserve">Na aba Concorrentes, insira uma linha antes da última e preencha valor, moeda e meses; copie a fórmula de R$/mês da linha de cima.</t>
  </si>
  <si>
    <t xml:space="preserve">Na aba Funcionalidades, insira a linha ACIMA da linha 'Nós (MVP)' para os totais continuarem valendo.</t>
  </si>
  <si>
    <t xml:space="preserve">Leitura rápida</t>
  </si>
  <si>
    <t xml:space="preserve">1. Modo Consulta de verdade (ler os versos como texto, com grifo) só aparece na Osler, preso ao conteúdo de medicina dela e a um curso de ~R$180/mês.</t>
  </si>
  <si>
    <t xml:space="preserve">2. Em concurso já existe mercado de decks prontos + cronograma (RevisaCards, MemorizeCards): o 'premium com cronograma' tem demanda comprovada.</t>
  </si>
  <si>
    <t xml:space="preserve">3. IAprova e Decoreba cobram R$29,90/mês: é a âncora de preço para o nosso premium no público de concurso.</t>
  </si>
  <si>
    <t xml:space="preserve">4. Ninguém junta cards próprios + importação do Anki + FSRS + Consulta com grifos, num app Android offline. Esse é o espaço.</t>
  </si>
  <si>
    <t xml:space="preserve">Concorrente</t>
  </si>
  <si>
    <t xml:space="preserve">Segmento</t>
  </si>
  <si>
    <t xml:space="preserve">Tipo</t>
  </si>
  <si>
    <t xml:space="preserve">Áreas</t>
  </si>
  <si>
    <t xml:space="preserve">Plataformas</t>
  </si>
  <si>
    <t xml:space="preserve">Modelo de cobrança</t>
  </si>
  <si>
    <t xml:space="preserve">Preço (valor)</t>
  </si>
  <si>
    <t xml:space="preserve">Moeda</t>
  </si>
  <si>
    <t xml:space="preserve">Meses cobertos</t>
  </si>
  <si>
    <t xml:space="preserve">R$/mês</t>
  </si>
  <si>
    <t xml:space="preserve">Detalhe do preço</t>
  </si>
  <si>
    <t xml:space="preserve">Pontos fortes</t>
  </si>
  <si>
    <t xml:space="preserve">Brecha para nós</t>
  </si>
  <si>
    <t xml:space="preserve">Fonte</t>
  </si>
  <si>
    <t xml:space="preserve">Confiança</t>
  </si>
  <si>
    <t xml:space="preserve">Anki (desktop, AnkiDroid, AnkiMobile)</t>
  </si>
  <si>
    <t xml:space="preserve">Generalista global</t>
  </si>
  <si>
    <t xml:space="preserve">Direto</t>
  </si>
  <si>
    <t xml:space="preserve">Qualquer</t>
  </si>
  <si>
    <t xml:space="preserve">Win/Mac/Linux, Android, iOS, AnkiWeb</t>
  </si>
  <si>
    <t xml:space="preserve">Grátis; iOS pago único</t>
  </si>
  <si>
    <t xml:space="preserve">USD</t>
  </si>
  <si>
    <t xml:space="preserve">Desktop e AnkiDroid grátis; AnkiMobile US$24,99 pagamento único.</t>
  </si>
  <si>
    <t xml:space="preserve">FSRS (disponível desde a versão 23.10), oclusão de imagem nativa, add-ons, base enorme de decks compartilhados. Padrão de fato em med e concurso.</t>
  </si>
  <si>
    <t xml:space="preserve">Barreira de entrada (configuração, modelos, add-ons) e visual datado. Consulta e grifos só via add-on no desktop.</t>
  </si>
  <si>
    <t xml:space="preserve">https://apps.apple.com/us/app/ankimobile-flashcards/id373493387 ; https://www.mindomax.com/is-anki-free</t>
  </si>
  <si>
    <t xml:space="preserve">Alta</t>
  </si>
  <si>
    <t xml:space="preserve">Noji (ex-AnkiPro)</t>
  </si>
  <si>
    <t xml:space="preserve">Idiomas, geral</t>
  </si>
  <si>
    <t xml:space="preserve">iOS, Android, web</t>
  </si>
  <si>
    <t xml:space="preserve">Freemium + assinatura</t>
  </si>
  <si>
    <t xml:space="preserve">US$4,99/mês; US$29,99/ano; US$74,99 vitalício (varia por país).</t>
  </si>
  <si>
    <t xml:space="preserve">O mais próximo da ideia 'Anki bonito e simples'. Importa .apkg/.colpkg, CSV e Quizlet. Biblioteca de 50 mil decks.</t>
  </si>
  <si>
    <t xml:space="preserve">Comparativos apontam SM-2 com presets, sem FSRS. Foco em idiomas, nada específico de med/concurso BR, sem modo de leitura.</t>
  </si>
  <si>
    <t xml:space="preserve">https://apps.apple.com/BR/app/id1573585542 ; https://help.noji.io/en/articles/9659298-can-i-import-other-decks-from-anki</t>
  </si>
  <si>
    <t xml:space="preserve">Média</t>
  </si>
  <si>
    <t xml:space="preserve">RemNote</t>
  </si>
  <si>
    <t xml:space="preserve">Universitário, med (EUA)</t>
  </si>
  <si>
    <t xml:space="preserve">Web, desktop, iOS, Android</t>
  </si>
  <si>
    <t xml:space="preserve">Pro US$8/mês; Pro com IA US$18/mês.</t>
  </si>
  <si>
    <t xml:space="preserve">Notas + flashcards no mesmo lugar, FSRS, anotação de PDF com grifos, agenda de provas, IA.</t>
  </si>
  <si>
    <t xml:space="preserve">Curva de aprendizado alta (é um app de notas). O grifo fica no PDF ou na nota, não no verso de um card revisado. Sem conteúdo BR.</t>
  </si>
  <si>
    <t xml:space="preserve">https://toolradar.com/tools/remnote/pricing ; https://alpha.remnote.com/blog/remnote-vs-anki</t>
  </si>
  <si>
    <t xml:space="preserve">Quizlet</t>
  </si>
  <si>
    <t xml:space="preserve">Escolar, idiomas</t>
  </si>
  <si>
    <t xml:space="preserve">Web, iOS, Android</t>
  </si>
  <si>
    <t xml:space="preserve">Plus US$7,99/mês ou US$35,99/ano; Plus Unlimited US$44,99/ano.</t>
  </si>
  <si>
    <t xml:space="preserve">Marca conhecida, muitos sets em PT-BR feitos por usuários, IA.</t>
  </si>
  <si>
    <t xml:space="preserve">Sem FSRS e sem importar Anki. O plano grátis vem sendo cortado. Pouco usado para estudo de longo prazo.</t>
  </si>
  <si>
    <t xml:space="preserve">https://nibble-app.com/blog/quizlet-cost</t>
  </si>
  <si>
    <t xml:space="preserve">Brainscape</t>
  </si>
  <si>
    <t xml:space="preserve">Geral, med (EUA)</t>
  </si>
  <si>
    <t xml:space="preserve">Pro US$19,99/mês; US$95,99/ano; vitalício US$199,99.</t>
  </si>
  <si>
    <t xml:space="preserve">Repetição por confiança (nota 1–5), decks prontos certificados.</t>
  </si>
  <si>
    <t xml:space="preserve">Caro, algoritmo próprio pouco transparente, sem importação do Anki, nada BR.</t>
  </si>
  <si>
    <t xml:space="preserve">https://softwarefinder.com/lms/brainscape/pricing</t>
  </si>
  <si>
    <t xml:space="preserve">Mochi</t>
  </si>
  <si>
    <t xml:space="preserve">Geral, programação</t>
  </si>
  <si>
    <t xml:space="preserve">Pro US$5/mês, cobrado anualmente.</t>
  </si>
  <si>
    <t xml:space="preserve">Minimalista, cards em Markdown, grátis e offline sem limite.</t>
  </si>
  <si>
    <t xml:space="preserve">Nicho pequeno e técnico, sem conteúdo nem marketing no Brasil.</t>
  </si>
  <si>
    <t xml:space="preserve">https://mochi.cards/pricing/</t>
  </si>
  <si>
    <t xml:space="preserve">MemorizeCards</t>
  </si>
  <si>
    <t xml:space="preserve">Concursos BR</t>
  </si>
  <si>
    <t xml:space="preserve">Policial, jurídica, fiscal, administrativa</t>
  </si>
  <si>
    <t xml:space="preserve">Só navegador (sem app nativo)</t>
  </si>
  <si>
    <t xml:space="preserve">Assinatura</t>
  </si>
  <si>
    <t xml:space="preserve">BRL</t>
  </si>
  <si>
    <t xml:space="preserve">R$49,90/mês; R$249,90 semestral; R$449,90 anual.</t>
  </si>
  <si>
    <t xml:space="preserve">3,4 milhões de cards prontos, anotação pessoal no card, caderno de erros, leitura em voz alta.</t>
  </si>
  <si>
    <t xml:space="preserve">Não tem app nativo nem modo offline. Algoritmo não divulgado. Cards fechados: não dá para trazer os do Anki.</t>
  </si>
  <si>
    <t xml:space="preserve">https://memorizecards.com.br/</t>
  </si>
  <si>
    <t xml:space="preserve">Decoreba</t>
  </si>
  <si>
    <t xml:space="preserve">ENEM, concursos</t>
  </si>
  <si>
    <t xml:space="preserve">iOS, Android</t>
  </si>
  <si>
    <t xml:space="preserve">Premium a partir de R$29,90/mês; tem trimestral.</t>
  </si>
  <si>
    <t xml:space="preserve">App nativo, 5 mil cards grátis, questões, simulados, IA que explica, 'Raio-X dos temas'.</t>
  </si>
  <si>
    <t xml:space="preserve">Conteúdo pronto deles; não fala em cards próprios nem importação. Sem modo de leitura.</t>
  </si>
  <si>
    <t xml:space="preserve">http://decoreba-app.com/home/</t>
  </si>
  <si>
    <t xml:space="preserve">IAprova</t>
  </si>
  <si>
    <t xml:space="preserve">Concursos, ENEM, vestibulares</t>
  </si>
  <si>
    <t xml:space="preserve">Web + PWA (sem loja)</t>
  </si>
  <si>
    <t xml:space="preserve">Trial + assinatura</t>
  </si>
  <si>
    <t xml:space="preserve">R$29,90/mês (15 créditos de IA/dia); trial de 14 dias; anual com desconto.</t>
  </si>
  <si>
    <t xml:space="preserve">Plano de estudo com IA, questões no estilo de 15+ bancas, correção de redação, flashcards gerados por IA. ~1.400 alunos.</t>
  </si>
  <si>
    <t xml:space="preserve">O usuário não cria os próprios cards; sem app de loja; sem FSRS declarado. É a referência de preço para o nosso premium.</t>
  </si>
  <si>
    <t xml:space="preserve">https://iaprova.app/home</t>
  </si>
  <si>
    <t xml:space="preserve">RevisaCards</t>
  </si>
  <si>
    <t xml:space="preserve">Carreiras policiais e administrativas</t>
  </si>
  <si>
    <t xml:space="preserve">Entrega decks para o Anki</t>
  </si>
  <si>
    <t xml:space="preserve">Pacote único</t>
  </si>
  <si>
    <t xml:space="preserve">Pacotes R$247–297; combos R$397–497; cronograma R$297 (preços promocionais).</t>
  </si>
  <si>
    <t xml:space="preserve">Vende decks Anki prontos + cronograma, com prova social ('2.000 aprovados').</t>
  </si>
  <si>
    <t xml:space="preserve">Depende do Anki, com toda a barreira dele. Mostra que existe gente pagando por 'deck + cronograma': nosso app pode ser onde esses decks rodam.</t>
  </si>
  <si>
    <t xml:space="preserve">https://revisacards.com/</t>
  </si>
  <si>
    <t xml:space="preserve">Cards de Concursos</t>
  </si>
  <si>
    <t xml:space="preserve">Concursos</t>
  </si>
  <si>
    <t xml:space="preserve">Mobile, offline (segundo o site)</t>
  </si>
  <si>
    <t xml:space="preserve">Grátis (declarado)</t>
  </si>
  <si>
    <t xml:space="preserve">Anuncia flashcards grátis; o site quase não tem informação.</t>
  </si>
  <si>
    <t xml:space="preserve">Grátis, offline.</t>
  </si>
  <si>
    <t xml:space="preserve">Informação pública escassa: testar o app.</t>
  </si>
  <si>
    <t xml:space="preserve">https://cardsdeconcursos.com.br/</t>
  </si>
  <si>
    <t xml:space="preserve">Baixa</t>
  </si>
  <si>
    <t xml:space="preserve">Osler</t>
  </si>
  <si>
    <t xml:space="preserve">Medicina BR</t>
  </si>
  <si>
    <t xml:space="preserve">Residência médica</t>
  </si>
  <si>
    <t xml:space="preserve">Web app</t>
  </si>
  <si>
    <t xml:space="preserve">Assinatura de curso</t>
  </si>
  <si>
    <t xml:space="preserve">R$5.124 por 28 meses (sua avaliação de 17/09/2026). Curso completo: flashcards + QBank.</t>
  </si>
  <si>
    <t xml:space="preserve">~90 mil flashcards, Modo Consulta, FSRS próprio (só retenção e intervalo máx.), 'Meus cards', High Yield, incidência por banca.</t>
  </si>
  <si>
    <t xml:space="preserve">Caro e preso ao curso; não importa histórico nem pesos do Anki. Modo Consulta só para o conteúdo deles.</t>
  </si>
  <si>
    <t xml:space="preserve">Sua avaliação da plataforma em 17/09/2026</t>
  </si>
  <si>
    <t xml:space="preserve">Medcof</t>
  </si>
  <si>
    <t xml:space="preserve">Web, app</t>
  </si>
  <si>
    <t xml:space="preserve">Preço não encontrado; flashcards vêm dentro da plataforma do curso.</t>
  </si>
  <si>
    <t xml:space="preserve">Flashcards prontos + cards próprios integrados ao QBank e ao curso.</t>
  </si>
  <si>
    <t xml:space="preserve">Preso ao curso; sem importação do Anki conhecida.</t>
  </si>
  <si>
    <t xml:space="preserve">https://www.grupomedcof.com.br/blog/flashcards-medcof/</t>
  </si>
  <si>
    <t xml:space="preserve">Estratégia MED (Flashcards + Mapas)</t>
  </si>
  <si>
    <t xml:space="preserve">Produto avulso</t>
  </si>
  <si>
    <t xml:space="preserve">12x R$88,95; período de acesso não informado.</t>
  </si>
  <si>
    <t xml:space="preserve">Marca forte, produto de flashcards vendido separado do curso.</t>
  </si>
  <si>
    <t xml:space="preserve">Cards só deles; sem cards próprios nem Anki conhecidos.</t>
  </si>
  <si>
    <t xml:space="preserve">https://med.estrategia.com/curso/flashcards-mapas-mentais/</t>
  </si>
  <si>
    <t xml:space="preserve">Gran Cursos</t>
  </si>
  <si>
    <t xml:space="preserve">Indireto</t>
  </si>
  <si>
    <t xml:space="preserve">Assinatura ilimitada</t>
  </si>
  <si>
    <t xml:space="preserve">Flashcards em PDF para imprimir, dentro da assinatura ilimitada.</t>
  </si>
  <si>
    <t xml:space="preserve">Enorme base de alunos.</t>
  </si>
  <si>
    <t xml:space="preserve">Flashcard em PDF, sem repetição espaçada: o aluno do Gran é público natural para o nosso app.</t>
  </si>
  <si>
    <t xml:space="preserve">https://blog.grancursosonline.com.br/flashcards/amp/</t>
  </si>
  <si>
    <t xml:space="preserve">Qconcursos / TEC</t>
  </si>
  <si>
    <t xml:space="preserve">Concursos, OAB</t>
  </si>
  <si>
    <t xml:space="preserve">Plataformas de questões; flashcards não confirmados.</t>
  </si>
  <si>
    <t xml:space="preserve">Banco de questões com filtro por banca e órgão.</t>
  </si>
  <si>
    <t xml:space="preserve">Complementar: questões lá, revisão no nosso app.</t>
  </si>
  <si>
    <t xml:space="preserve">https://tecnoblog.net/responde/5-aplicativos-para-estudar-para-concurso-publico/</t>
  </si>
  <si>
    <t xml:space="preserve">R$/mês = preço × câmbio (se USD) ÷ meses cobertos. '-' quando o pagamento é único ou o preço/período não foi encontrado.</t>
  </si>
  <si>
    <t xml:space="preserve">Mediana R$/mês (concorrentes com preço mensalizável)</t>
  </si>
  <si>
    <t xml:space="preserve">Mediana R$/mês só concorrentes BR</t>
  </si>
  <si>
    <t xml:space="preserve">Modo Consulta (versos como texto)</t>
  </si>
  <si>
    <t xml:space="preserve">Grifo/nota no texto do card</t>
  </si>
  <si>
    <t xml:space="preserve">Grifo aparece na revisão</t>
  </si>
  <si>
    <t xml:space="preserve">FSRS</t>
  </si>
  <si>
    <t xml:space="preserve">Cria cards próprios</t>
  </si>
  <si>
    <t xml:space="preserve">Cards prontos em PT-BR</t>
  </si>
  <si>
    <t xml:space="preserve">Importa .apkg</t>
  </si>
  <si>
    <t xml:space="preserve">Offline</t>
  </si>
  <si>
    <t xml:space="preserve">App Android de loja</t>
  </si>
  <si>
    <t xml:space="preserve">Web</t>
  </si>
  <si>
    <t xml:space="preserve">IA (gerar/explicar)</t>
  </si>
  <si>
    <t xml:space="preserve">Plano/cronograma</t>
  </si>
  <si>
    <t xml:space="preserve">Uso grátis real</t>
  </si>
  <si>
    <t xml:space="preserve">Anki</t>
  </si>
  <si>
    <t xml:space="preserve">Não</t>
  </si>
  <si>
    <t xml:space="preserve">Sim</t>
  </si>
  <si>
    <t xml:space="preserve">Parcial</t>
  </si>
  <si>
    <t xml:space="preserve">Noji</t>
  </si>
  <si>
    <t xml:space="preserve">?</t>
  </si>
  <si>
    <t xml:space="preserve">Estratégia MED</t>
  </si>
  <si>
    <t xml:space="preserve">Nós (MVP)</t>
  </si>
  <si>
    <t xml:space="preserve">Depois</t>
  </si>
  <si>
    <t xml:space="preserve">Concorrentes com Sim</t>
  </si>
  <si>
    <t xml:space="preserve">Concorrentes com Parcial</t>
  </si>
  <si>
    <t xml:space="preserve">Sem informação (?)</t>
  </si>
  <si>
    <t xml:space="preserve">% com Sim</t>
  </si>
  <si>
    <t xml:space="preserve">Leitura</t>
  </si>
  <si>
    <t xml:space="preserve">Contagens consideram só as linhas de concorrentes (sem 'Nós'). '?' não conta como Sim: cada '?' é um item a verificar testando o app.</t>
  </si>
  <si>
    <t xml:space="preserve">Premissas</t>
  </si>
  <si>
    <t xml:space="preserve">Câmbio USD → BRL</t>
  </si>
  <si>
    <t xml:space="preserve">Assumido; atualize com a PTAX do dia. Todas as conversões da aba Concorrentes usam esta célula.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</si>
</sst>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-#,##0.00;\-"/>
    <numFmt numFmtId="166" formatCode="&quot;R$ &quot;#,##0.00;&quot;-R$ &quot;#,##0.00;&quot;R$ &quot;0"/>
    <numFmt numFmtId="167" formatCode="&quot;R$ &quot;#,##0.00"/>
    <numFmt numFmtId="168" formatCode="0%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F5B"/>
        <bgColor rgb="FF008080"/>
      </patternFill>
    </fill>
    <fill>
      <patternFill patternType="solid">
        <fgColor rgb="FFDCE9E6"/>
        <bgColor rgb="FFDDEBD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C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5F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DEBDF"/>
        </patternFill>
      </fill>
    </dxf>
    <dxf>
      <fill>
        <patternFill>
          <bgColor rgb="FFF3E7CE"/>
        </patternFill>
      </fill>
    </dxf>
    <dxf>
      <fill>
        <patternFill>
          <bgColor rgb="FFF2DFDC"/>
        </patternFill>
      </fill>
    </dxf>
    <dxf>
      <fill>
        <patternFill>
          <bgColor rgb="FFEDEF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C0C0C0"/>
      <rgbColor rgb="FF808080"/>
      <rgbColor rgb="FF9999FF"/>
      <rgbColor rgb="FF993366"/>
      <rgbColor rgb="FFEDEFEA"/>
      <rgbColor rgb="FFDCE9E6"/>
      <rgbColor rgb="FF660066"/>
      <rgbColor rgb="FFFF8080"/>
      <rgbColor rgb="FF0066CC"/>
      <rgbColor rgb="FFD8DC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DF"/>
      <rgbColor rgb="FFF3E7CE"/>
      <rgbColor rgb="FF99CCFF"/>
      <rgbColor rgb="FFFF99CC"/>
      <rgbColor rgb="FFCC99FF"/>
      <rgbColor rgb="FFF2DF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44"/>
    <col collapsed="false" customWidth="true" hidden="false" outlineLevel="0" max="14" min="14" style="0" width="40"/>
    <col collapsed="false" customWidth="true" hidden="false" outlineLevel="0" max="15" min="15" style="0" width="10"/>
  </cols>
  <sheetData>
    <row r="1" customFormat="false" ht="30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</row>
    <row r="2" customFormat="false" ht="46.25" hidden="false" customHeight="false" outlineLevel="0" collapsed="false">
      <c r="A2" s="5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7" t="n">
        <v>24.99</v>
      </c>
      <c r="H2" s="8" t="s">
        <v>40</v>
      </c>
      <c r="I2" s="8"/>
      <c r="J2" s="9" t="str">
        <f aca="false">IF(OR(G2="",I2=""),"-",G2*IF(H2="USD",Premissas!$B$3,1)/I2)</f>
        <v>-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35.05" hidden="false" customHeight="false" outlineLevel="0" collapsed="false">
      <c r="A3" s="5" t="s">
        <v>46</v>
      </c>
      <c r="B3" s="6" t="s">
        <v>35</v>
      </c>
      <c r="C3" s="6" t="s">
        <v>36</v>
      </c>
      <c r="D3" s="6" t="s">
        <v>47</v>
      </c>
      <c r="E3" s="6" t="s">
        <v>48</v>
      </c>
      <c r="F3" s="6" t="s">
        <v>49</v>
      </c>
      <c r="G3" s="7" t="n">
        <v>29.99</v>
      </c>
      <c r="H3" s="8" t="s">
        <v>40</v>
      </c>
      <c r="I3" s="8" t="n">
        <v>12</v>
      </c>
      <c r="J3" s="9" t="n">
        <f aca="false">IF(OR(G3="",I3=""),"-",G3*IF(H3="USD",Premissas!$B$3,1)/I3)</f>
        <v>13.4955</v>
      </c>
      <c r="K3" s="6" t="s">
        <v>50</v>
      </c>
      <c r="L3" s="6" t="s">
        <v>51</v>
      </c>
      <c r="M3" s="6" t="s">
        <v>52</v>
      </c>
      <c r="N3" s="6" t="s">
        <v>53</v>
      </c>
      <c r="O3" s="6" t="s">
        <v>54</v>
      </c>
    </row>
    <row r="4" customFormat="false" ht="35.05" hidden="false" customHeight="false" outlineLevel="0" collapsed="false">
      <c r="A4" s="5" t="s">
        <v>55</v>
      </c>
      <c r="B4" s="6" t="s">
        <v>35</v>
      </c>
      <c r="C4" s="6" t="s">
        <v>36</v>
      </c>
      <c r="D4" s="6" t="s">
        <v>56</v>
      </c>
      <c r="E4" s="6" t="s">
        <v>57</v>
      </c>
      <c r="F4" s="6" t="s">
        <v>49</v>
      </c>
      <c r="G4" s="7" t="n">
        <v>8</v>
      </c>
      <c r="H4" s="8" t="s">
        <v>40</v>
      </c>
      <c r="I4" s="8" t="n">
        <v>1</v>
      </c>
      <c r="J4" s="9" t="n">
        <f aca="false">IF(OR(G4="",I4=""),"-",G4*IF(H4="USD",Premissas!$B$3,1)/I4)</f>
        <v>43.2</v>
      </c>
      <c r="K4" s="6" t="s">
        <v>58</v>
      </c>
      <c r="L4" s="6" t="s">
        <v>59</v>
      </c>
      <c r="M4" s="6" t="s">
        <v>60</v>
      </c>
      <c r="N4" s="6" t="s">
        <v>61</v>
      </c>
      <c r="O4" s="6" t="s">
        <v>54</v>
      </c>
    </row>
    <row r="5" customFormat="false" ht="35.05" hidden="false" customHeight="false" outlineLevel="0" collapsed="false">
      <c r="A5" s="5" t="s">
        <v>62</v>
      </c>
      <c r="B5" s="6" t="s">
        <v>35</v>
      </c>
      <c r="C5" s="6" t="s">
        <v>36</v>
      </c>
      <c r="D5" s="6" t="s">
        <v>63</v>
      </c>
      <c r="E5" s="6" t="s">
        <v>64</v>
      </c>
      <c r="F5" s="6" t="s">
        <v>49</v>
      </c>
      <c r="G5" s="7" t="n">
        <v>35.99</v>
      </c>
      <c r="H5" s="8" t="s">
        <v>40</v>
      </c>
      <c r="I5" s="8" t="n">
        <v>12</v>
      </c>
      <c r="J5" s="9" t="n">
        <f aca="false">IF(OR(G5="",I5=""),"-",G5*IF(H5="USD",Premissas!$B$3,1)/I5)</f>
        <v>16.1955</v>
      </c>
      <c r="K5" s="6" t="s">
        <v>65</v>
      </c>
      <c r="L5" s="6" t="s">
        <v>66</v>
      </c>
      <c r="M5" s="6" t="s">
        <v>67</v>
      </c>
      <c r="N5" s="6" t="s">
        <v>68</v>
      </c>
      <c r="O5" s="6" t="s">
        <v>54</v>
      </c>
    </row>
    <row r="6" customFormat="false" ht="23.85" hidden="false" customHeight="false" outlineLevel="0" collapsed="false">
      <c r="A6" s="5" t="s">
        <v>69</v>
      </c>
      <c r="B6" s="6" t="s">
        <v>35</v>
      </c>
      <c r="C6" s="6" t="s">
        <v>36</v>
      </c>
      <c r="D6" s="6" t="s">
        <v>70</v>
      </c>
      <c r="E6" s="6" t="s">
        <v>64</v>
      </c>
      <c r="F6" s="6" t="s">
        <v>49</v>
      </c>
      <c r="G6" s="7" t="n">
        <v>95.99</v>
      </c>
      <c r="H6" s="8" t="s">
        <v>40</v>
      </c>
      <c r="I6" s="8" t="n">
        <v>12</v>
      </c>
      <c r="J6" s="9" t="n">
        <f aca="false">IF(OR(G6="",I6=""),"-",G6*IF(H6="USD",Premissas!$B$3,1)/I6)</f>
        <v>43.1955</v>
      </c>
      <c r="K6" s="6" t="s">
        <v>71</v>
      </c>
      <c r="L6" s="6" t="s">
        <v>72</v>
      </c>
      <c r="M6" s="6" t="s">
        <v>73</v>
      </c>
      <c r="N6" s="6" t="s">
        <v>74</v>
      </c>
      <c r="O6" s="6" t="s">
        <v>54</v>
      </c>
    </row>
    <row r="7" customFormat="false" ht="23.85" hidden="false" customHeight="false" outlineLevel="0" collapsed="false">
      <c r="A7" s="5" t="s">
        <v>75</v>
      </c>
      <c r="B7" s="6" t="s">
        <v>35</v>
      </c>
      <c r="C7" s="6" t="s">
        <v>36</v>
      </c>
      <c r="D7" s="6" t="s">
        <v>76</v>
      </c>
      <c r="E7" s="6" t="s">
        <v>57</v>
      </c>
      <c r="F7" s="6" t="s">
        <v>49</v>
      </c>
      <c r="G7" s="7" t="n">
        <v>5</v>
      </c>
      <c r="H7" s="8" t="s">
        <v>40</v>
      </c>
      <c r="I7" s="8" t="n">
        <v>1</v>
      </c>
      <c r="J7" s="9" t="n">
        <f aca="false">IF(OR(G7="",I7=""),"-",G7*IF(H7="USD",Premissas!$B$3,1)/I7)</f>
        <v>27</v>
      </c>
      <c r="K7" s="6" t="s">
        <v>77</v>
      </c>
      <c r="L7" s="6" t="s">
        <v>78</v>
      </c>
      <c r="M7" s="6" t="s">
        <v>79</v>
      </c>
      <c r="N7" s="6" t="s">
        <v>80</v>
      </c>
      <c r="O7" s="6" t="s">
        <v>54</v>
      </c>
    </row>
    <row r="8" customFormat="false" ht="35.05" hidden="false" customHeight="false" outlineLevel="0" collapsed="false">
      <c r="A8" s="5" t="s">
        <v>81</v>
      </c>
      <c r="B8" s="6" t="s">
        <v>82</v>
      </c>
      <c r="C8" s="6" t="s">
        <v>36</v>
      </c>
      <c r="D8" s="6" t="s">
        <v>83</v>
      </c>
      <c r="E8" s="6" t="s">
        <v>84</v>
      </c>
      <c r="F8" s="6" t="s">
        <v>85</v>
      </c>
      <c r="G8" s="7" t="n">
        <v>449.9</v>
      </c>
      <c r="H8" s="8" t="s">
        <v>86</v>
      </c>
      <c r="I8" s="8" t="n">
        <v>12</v>
      </c>
      <c r="J8" s="9" t="n">
        <f aca="false">IF(OR(G8="",I8=""),"-",G8*IF(H8="USD",Premissas!$B$3,1)/I8)</f>
        <v>37.4916666666667</v>
      </c>
      <c r="K8" s="6" t="s">
        <v>87</v>
      </c>
      <c r="L8" s="6" t="s">
        <v>88</v>
      </c>
      <c r="M8" s="6" t="s">
        <v>89</v>
      </c>
      <c r="N8" s="6" t="s">
        <v>90</v>
      </c>
      <c r="O8" s="6" t="s">
        <v>45</v>
      </c>
    </row>
    <row r="9" customFormat="false" ht="23.85" hidden="false" customHeight="false" outlineLevel="0" collapsed="false">
      <c r="A9" s="5" t="s">
        <v>91</v>
      </c>
      <c r="B9" s="6" t="s">
        <v>82</v>
      </c>
      <c r="C9" s="6" t="s">
        <v>36</v>
      </c>
      <c r="D9" s="6" t="s">
        <v>92</v>
      </c>
      <c r="E9" s="6" t="s">
        <v>93</v>
      </c>
      <c r="F9" s="6" t="s">
        <v>49</v>
      </c>
      <c r="G9" s="7" t="n">
        <v>29.9</v>
      </c>
      <c r="H9" s="8" t="s">
        <v>86</v>
      </c>
      <c r="I9" s="8" t="n">
        <v>1</v>
      </c>
      <c r="J9" s="9" t="n">
        <f aca="false">IF(OR(G9="",I9=""),"-",G9*IF(H9="USD",Premissas!$B$3,1)/I9)</f>
        <v>29.9</v>
      </c>
      <c r="K9" s="6" t="s">
        <v>94</v>
      </c>
      <c r="L9" s="6" t="s">
        <v>95</v>
      </c>
      <c r="M9" s="6" t="s">
        <v>96</v>
      </c>
      <c r="N9" s="6" t="s">
        <v>97</v>
      </c>
      <c r="O9" s="6" t="s">
        <v>45</v>
      </c>
    </row>
    <row r="10" customFormat="false" ht="35.05" hidden="false" customHeight="false" outlineLevel="0" collapsed="false">
      <c r="A10" s="5" t="s">
        <v>98</v>
      </c>
      <c r="B10" s="6" t="s">
        <v>82</v>
      </c>
      <c r="C10" s="6" t="s">
        <v>36</v>
      </c>
      <c r="D10" s="6" t="s">
        <v>99</v>
      </c>
      <c r="E10" s="6" t="s">
        <v>100</v>
      </c>
      <c r="F10" s="6" t="s">
        <v>101</v>
      </c>
      <c r="G10" s="7" t="n">
        <v>29.9</v>
      </c>
      <c r="H10" s="8" t="s">
        <v>86</v>
      </c>
      <c r="I10" s="8" t="n">
        <v>1</v>
      </c>
      <c r="J10" s="9" t="n">
        <f aca="false">IF(OR(G10="",I10=""),"-",G10*IF(H10="USD",Premissas!$B$3,1)/I10)</f>
        <v>29.9</v>
      </c>
      <c r="K10" s="6" t="s">
        <v>102</v>
      </c>
      <c r="L10" s="6" t="s">
        <v>103</v>
      </c>
      <c r="M10" s="6" t="s">
        <v>104</v>
      </c>
      <c r="N10" s="6" t="s">
        <v>105</v>
      </c>
      <c r="O10" s="6" t="s">
        <v>45</v>
      </c>
    </row>
    <row r="11" customFormat="false" ht="35.05" hidden="false" customHeight="false" outlineLevel="0" collapsed="false">
      <c r="A11" s="5" t="s">
        <v>106</v>
      </c>
      <c r="B11" s="6" t="s">
        <v>82</v>
      </c>
      <c r="C11" s="6" t="s">
        <v>36</v>
      </c>
      <c r="D11" s="6" t="s">
        <v>107</v>
      </c>
      <c r="E11" s="6" t="s">
        <v>108</v>
      </c>
      <c r="F11" s="6" t="s">
        <v>109</v>
      </c>
      <c r="G11" s="7" t="n">
        <v>297</v>
      </c>
      <c r="H11" s="8" t="s">
        <v>86</v>
      </c>
      <c r="I11" s="8"/>
      <c r="J11" s="9" t="str">
        <f aca="false">IF(OR(G11="",I11=""),"-",G11*IF(H11="USD",Premissas!$B$3,1)/I11)</f>
        <v>-</v>
      </c>
      <c r="K11" s="6" t="s">
        <v>110</v>
      </c>
      <c r="L11" s="6" t="s">
        <v>111</v>
      </c>
      <c r="M11" s="6" t="s">
        <v>112</v>
      </c>
      <c r="N11" s="6" t="s">
        <v>113</v>
      </c>
      <c r="O11" s="6" t="s">
        <v>45</v>
      </c>
    </row>
    <row r="12" customFormat="false" ht="23.85" hidden="false" customHeight="false" outlineLevel="0" collapsed="false">
      <c r="A12" s="5" t="s">
        <v>114</v>
      </c>
      <c r="B12" s="6" t="s">
        <v>82</v>
      </c>
      <c r="C12" s="6" t="s">
        <v>36</v>
      </c>
      <c r="D12" s="6" t="s">
        <v>115</v>
      </c>
      <c r="E12" s="6" t="s">
        <v>116</v>
      </c>
      <c r="F12" s="6" t="s">
        <v>117</v>
      </c>
      <c r="G12" s="7" t="n">
        <v>0</v>
      </c>
      <c r="H12" s="8" t="s">
        <v>86</v>
      </c>
      <c r="I12" s="8" t="n">
        <v>1</v>
      </c>
      <c r="J12" s="9" t="n">
        <f aca="false">IF(OR(G12="",I12=""),"-",G12*IF(H12="USD",Premissas!$B$3,1)/I12)</f>
        <v>0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122</v>
      </c>
    </row>
    <row r="13" customFormat="false" ht="35.05" hidden="false" customHeight="false" outlineLevel="0" collapsed="false">
      <c r="A13" s="5" t="s">
        <v>123</v>
      </c>
      <c r="B13" s="6" t="s">
        <v>124</v>
      </c>
      <c r="C13" s="6" t="s">
        <v>36</v>
      </c>
      <c r="D13" s="6" t="s">
        <v>125</v>
      </c>
      <c r="E13" s="6" t="s">
        <v>126</v>
      </c>
      <c r="F13" s="6" t="s">
        <v>127</v>
      </c>
      <c r="G13" s="7" t="n">
        <v>5124</v>
      </c>
      <c r="H13" s="8" t="s">
        <v>86</v>
      </c>
      <c r="I13" s="8" t="n">
        <v>28</v>
      </c>
      <c r="J13" s="9" t="n">
        <f aca="false">IF(OR(G13="",I13=""),"-",G13*IF(H13="USD",Premissas!$B$3,1)/I13)</f>
        <v>183</v>
      </c>
      <c r="K13" s="6" t="s">
        <v>128</v>
      </c>
      <c r="L13" s="6" t="s">
        <v>129</v>
      </c>
      <c r="M13" s="6" t="s">
        <v>130</v>
      </c>
      <c r="N13" s="6" t="s">
        <v>131</v>
      </c>
      <c r="O13" s="6" t="s">
        <v>54</v>
      </c>
    </row>
    <row r="14" customFormat="false" ht="23.85" hidden="false" customHeight="false" outlineLevel="0" collapsed="false">
      <c r="A14" s="5" t="s">
        <v>132</v>
      </c>
      <c r="B14" s="6" t="s">
        <v>124</v>
      </c>
      <c r="C14" s="6" t="s">
        <v>36</v>
      </c>
      <c r="D14" s="6" t="s">
        <v>125</v>
      </c>
      <c r="E14" s="6" t="s">
        <v>133</v>
      </c>
      <c r="F14" s="6" t="s">
        <v>127</v>
      </c>
      <c r="G14" s="7"/>
      <c r="H14" s="8" t="s">
        <v>86</v>
      </c>
      <c r="I14" s="8"/>
      <c r="J14" s="9" t="str">
        <f aca="false">IF(OR(G14="",I14=""),"-",G14*IF(H14="USD",Premissas!$B$3,1)/I14)</f>
        <v>-</v>
      </c>
      <c r="K14" s="6" t="s">
        <v>134</v>
      </c>
      <c r="L14" s="6" t="s">
        <v>135</v>
      </c>
      <c r="M14" s="6" t="s">
        <v>136</v>
      </c>
      <c r="N14" s="6" t="s">
        <v>137</v>
      </c>
      <c r="O14" s="6" t="s">
        <v>54</v>
      </c>
    </row>
    <row r="15" customFormat="false" ht="23.85" hidden="false" customHeight="false" outlineLevel="0" collapsed="false">
      <c r="A15" s="5" t="s">
        <v>138</v>
      </c>
      <c r="B15" s="6" t="s">
        <v>124</v>
      </c>
      <c r="C15" s="6" t="s">
        <v>36</v>
      </c>
      <c r="D15" s="6" t="s">
        <v>125</v>
      </c>
      <c r="E15" s="6" t="s">
        <v>133</v>
      </c>
      <c r="F15" s="6" t="s">
        <v>139</v>
      </c>
      <c r="G15" s="7" t="n">
        <v>1067.4</v>
      </c>
      <c r="H15" s="8" t="s">
        <v>86</v>
      </c>
      <c r="I15" s="8"/>
      <c r="J15" s="9" t="str">
        <f aca="false">IF(OR(G15="",I15=""),"-",G15*IF(H15="USD",Premissas!$B$3,1)/I15)</f>
        <v>-</v>
      </c>
      <c r="K15" s="6" t="s">
        <v>140</v>
      </c>
      <c r="L15" s="6" t="s">
        <v>141</v>
      </c>
      <c r="M15" s="6" t="s">
        <v>142</v>
      </c>
      <c r="N15" s="6" t="s">
        <v>143</v>
      </c>
      <c r="O15" s="6" t="s">
        <v>54</v>
      </c>
    </row>
    <row r="16" customFormat="false" ht="23.85" hidden="false" customHeight="false" outlineLevel="0" collapsed="false">
      <c r="A16" s="5" t="s">
        <v>144</v>
      </c>
      <c r="B16" s="6" t="s">
        <v>82</v>
      </c>
      <c r="C16" s="6" t="s">
        <v>145</v>
      </c>
      <c r="D16" s="6" t="s">
        <v>115</v>
      </c>
      <c r="E16" s="6" t="s">
        <v>133</v>
      </c>
      <c r="F16" s="6" t="s">
        <v>146</v>
      </c>
      <c r="G16" s="7"/>
      <c r="H16" s="8" t="s">
        <v>86</v>
      </c>
      <c r="I16" s="8"/>
      <c r="J16" s="9" t="str">
        <f aca="false">IF(OR(G16="",I16=""),"-",G16*IF(H16="USD",Premissas!$B$3,1)/I16)</f>
        <v>-</v>
      </c>
      <c r="K16" s="6" t="s">
        <v>147</v>
      </c>
      <c r="L16" s="6" t="s">
        <v>148</v>
      </c>
      <c r="M16" s="6" t="s">
        <v>149</v>
      </c>
      <c r="N16" s="6" t="s">
        <v>150</v>
      </c>
      <c r="O16" s="6" t="s">
        <v>54</v>
      </c>
    </row>
    <row r="17" customFormat="false" ht="23.85" hidden="false" customHeight="false" outlineLevel="0" collapsed="false">
      <c r="A17" s="5" t="s">
        <v>151</v>
      </c>
      <c r="B17" s="6" t="s">
        <v>82</v>
      </c>
      <c r="C17" s="6" t="s">
        <v>145</v>
      </c>
      <c r="D17" s="6" t="s">
        <v>152</v>
      </c>
      <c r="E17" s="6" t="s">
        <v>133</v>
      </c>
      <c r="F17" s="6" t="s">
        <v>85</v>
      </c>
      <c r="G17" s="7"/>
      <c r="H17" s="8" t="s">
        <v>86</v>
      </c>
      <c r="I17" s="8"/>
      <c r="J17" s="9" t="str">
        <f aca="false">IF(OR(G17="",I17=""),"-",G17*IF(H17="USD",Premissas!$B$3,1)/I17)</f>
        <v>-</v>
      </c>
      <c r="K17" s="6" t="s">
        <v>153</v>
      </c>
      <c r="L17" s="6" t="s">
        <v>154</v>
      </c>
      <c r="M17" s="6" t="s">
        <v>155</v>
      </c>
      <c r="N17" s="6" t="s">
        <v>156</v>
      </c>
      <c r="O17" s="6" t="s">
        <v>122</v>
      </c>
    </row>
    <row r="19" customFormat="false" ht="15" hidden="false" customHeight="false" outlineLevel="0" collapsed="false">
      <c r="A19" s="10" t="s">
        <v>157</v>
      </c>
    </row>
    <row r="20" customFormat="false" ht="15" hidden="false" customHeight="false" outlineLevel="0" collapsed="false">
      <c r="A20" s="11" t="s">
        <v>158</v>
      </c>
      <c r="J20" s="12" t="n">
        <f aca="false">MEDIAN(J2:J17)</f>
        <v>29.9</v>
      </c>
    </row>
    <row r="21" customFormat="false" ht="15" hidden="false" customHeight="false" outlineLevel="0" collapsed="false">
      <c r="A21" s="11" t="s">
        <v>159</v>
      </c>
      <c r="J21" s="12" t="n">
        <f aca="false" t="array" ref="J21:J21">MEDIAN(IF((H2:H17="BRL")*ISNUMBER(J2:J17),J2:J17))</f>
        <v>29.9</v>
      </c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3"/>
  </cols>
  <sheetData>
    <row r="1" customFormat="false" ht="54" hidden="false" customHeight="true" outlineLevel="0" collapsed="false">
      <c r="A1" s="13" t="s">
        <v>19</v>
      </c>
      <c r="B1" s="14" t="s">
        <v>160</v>
      </c>
      <c r="C1" s="14" t="s">
        <v>161</v>
      </c>
      <c r="D1" s="14" t="s">
        <v>162</v>
      </c>
      <c r="E1" s="14" t="s">
        <v>163</v>
      </c>
      <c r="F1" s="14" t="s">
        <v>164</v>
      </c>
      <c r="G1" s="14" t="s">
        <v>165</v>
      </c>
      <c r="H1" s="14" t="s">
        <v>166</v>
      </c>
      <c r="I1" s="14" t="s">
        <v>167</v>
      </c>
      <c r="J1" s="14" t="s">
        <v>168</v>
      </c>
      <c r="K1" s="14" t="s">
        <v>169</v>
      </c>
      <c r="L1" s="14" t="s">
        <v>170</v>
      </c>
      <c r="M1" s="14" t="s">
        <v>171</v>
      </c>
      <c r="N1" s="14" t="s">
        <v>172</v>
      </c>
    </row>
    <row r="2" customFormat="false" ht="15" hidden="false" customHeight="false" outlineLevel="0" collapsed="false">
      <c r="A2" s="11" t="s">
        <v>173</v>
      </c>
      <c r="B2" s="15" t="s">
        <v>174</v>
      </c>
      <c r="C2" s="15" t="s">
        <v>174</v>
      </c>
      <c r="D2" s="15" t="s">
        <v>174</v>
      </c>
      <c r="E2" s="15" t="s">
        <v>175</v>
      </c>
      <c r="F2" s="15" t="s">
        <v>175</v>
      </c>
      <c r="G2" s="15" t="s">
        <v>176</v>
      </c>
      <c r="H2" s="15" t="s">
        <v>175</v>
      </c>
      <c r="I2" s="15" t="s">
        <v>175</v>
      </c>
      <c r="J2" s="15" t="s">
        <v>175</v>
      </c>
      <c r="K2" s="15" t="s">
        <v>176</v>
      </c>
      <c r="L2" s="15" t="s">
        <v>174</v>
      </c>
      <c r="M2" s="15" t="s">
        <v>174</v>
      </c>
      <c r="N2" s="15" t="s">
        <v>175</v>
      </c>
    </row>
    <row r="3" customFormat="false" ht="15" hidden="false" customHeight="false" outlineLevel="0" collapsed="false">
      <c r="A3" s="11" t="s">
        <v>177</v>
      </c>
      <c r="B3" s="15" t="s">
        <v>174</v>
      </c>
      <c r="C3" s="15" t="s">
        <v>178</v>
      </c>
      <c r="D3" s="15" t="s">
        <v>178</v>
      </c>
      <c r="E3" s="15" t="s">
        <v>174</v>
      </c>
      <c r="F3" s="15" t="s">
        <v>175</v>
      </c>
      <c r="G3" s="15" t="s">
        <v>176</v>
      </c>
      <c r="H3" s="15" t="s">
        <v>175</v>
      </c>
      <c r="I3" s="15" t="s">
        <v>178</v>
      </c>
      <c r="J3" s="15" t="s">
        <v>175</v>
      </c>
      <c r="K3" s="15" t="s">
        <v>175</v>
      </c>
      <c r="L3" s="15" t="s">
        <v>175</v>
      </c>
      <c r="M3" s="15" t="s">
        <v>174</v>
      </c>
      <c r="N3" s="15" t="s">
        <v>175</v>
      </c>
    </row>
    <row r="4" customFormat="false" ht="15" hidden="false" customHeight="false" outlineLevel="0" collapsed="false">
      <c r="A4" s="11" t="s">
        <v>55</v>
      </c>
      <c r="B4" s="15" t="s">
        <v>176</v>
      </c>
      <c r="C4" s="15" t="s">
        <v>175</v>
      </c>
      <c r="D4" s="15" t="s">
        <v>174</v>
      </c>
      <c r="E4" s="15" t="s">
        <v>175</v>
      </c>
      <c r="F4" s="15" t="s">
        <v>175</v>
      </c>
      <c r="G4" s="15" t="s">
        <v>174</v>
      </c>
      <c r="H4" s="15" t="s">
        <v>175</v>
      </c>
      <c r="I4" s="15" t="s">
        <v>175</v>
      </c>
      <c r="J4" s="15" t="s">
        <v>175</v>
      </c>
      <c r="K4" s="15" t="s">
        <v>175</v>
      </c>
      <c r="L4" s="15" t="s">
        <v>175</v>
      </c>
      <c r="M4" s="15" t="s">
        <v>176</v>
      </c>
      <c r="N4" s="15" t="s">
        <v>175</v>
      </c>
    </row>
    <row r="5" customFormat="false" ht="15" hidden="false" customHeight="false" outlineLevel="0" collapsed="false">
      <c r="A5" s="11" t="s">
        <v>62</v>
      </c>
      <c r="B5" s="15" t="s">
        <v>174</v>
      </c>
      <c r="C5" s="15" t="s">
        <v>174</v>
      </c>
      <c r="D5" s="15" t="s">
        <v>174</v>
      </c>
      <c r="E5" s="15" t="s">
        <v>174</v>
      </c>
      <c r="F5" s="15" t="s">
        <v>175</v>
      </c>
      <c r="G5" s="15" t="s">
        <v>175</v>
      </c>
      <c r="H5" s="15" t="s">
        <v>174</v>
      </c>
      <c r="I5" s="15" t="s">
        <v>176</v>
      </c>
      <c r="J5" s="15" t="s">
        <v>175</v>
      </c>
      <c r="K5" s="15" t="s">
        <v>175</v>
      </c>
      <c r="L5" s="15" t="s">
        <v>175</v>
      </c>
      <c r="M5" s="15" t="s">
        <v>176</v>
      </c>
      <c r="N5" s="15" t="s">
        <v>176</v>
      </c>
    </row>
    <row r="6" customFormat="false" ht="15" hidden="false" customHeight="false" outlineLevel="0" collapsed="false">
      <c r="A6" s="11" t="s">
        <v>69</v>
      </c>
      <c r="B6" s="15" t="s">
        <v>174</v>
      </c>
      <c r="C6" s="15" t="s">
        <v>174</v>
      </c>
      <c r="D6" s="15" t="s">
        <v>174</v>
      </c>
      <c r="E6" s="15" t="s">
        <v>174</v>
      </c>
      <c r="F6" s="15" t="s">
        <v>175</v>
      </c>
      <c r="G6" s="15" t="s">
        <v>176</v>
      </c>
      <c r="H6" s="15" t="s">
        <v>174</v>
      </c>
      <c r="I6" s="15" t="s">
        <v>176</v>
      </c>
      <c r="J6" s="15" t="s">
        <v>175</v>
      </c>
      <c r="K6" s="15" t="s">
        <v>175</v>
      </c>
      <c r="L6" s="15" t="s">
        <v>178</v>
      </c>
      <c r="M6" s="15" t="s">
        <v>174</v>
      </c>
      <c r="N6" s="15" t="s">
        <v>176</v>
      </c>
    </row>
    <row r="7" customFormat="false" ht="15" hidden="false" customHeight="false" outlineLevel="0" collapsed="false">
      <c r="A7" s="11" t="s">
        <v>75</v>
      </c>
      <c r="B7" s="15" t="s">
        <v>174</v>
      </c>
      <c r="C7" s="15" t="s">
        <v>174</v>
      </c>
      <c r="D7" s="15" t="s">
        <v>174</v>
      </c>
      <c r="E7" s="15" t="s">
        <v>178</v>
      </c>
      <c r="F7" s="15" t="s">
        <v>175</v>
      </c>
      <c r="G7" s="15" t="s">
        <v>174</v>
      </c>
      <c r="H7" s="15" t="s">
        <v>175</v>
      </c>
      <c r="I7" s="15" t="s">
        <v>175</v>
      </c>
      <c r="J7" s="15" t="s">
        <v>175</v>
      </c>
      <c r="K7" s="15" t="s">
        <v>175</v>
      </c>
      <c r="L7" s="15" t="s">
        <v>178</v>
      </c>
      <c r="M7" s="15" t="s">
        <v>174</v>
      </c>
      <c r="N7" s="15" t="s">
        <v>175</v>
      </c>
    </row>
    <row r="8" customFormat="false" ht="15" hidden="false" customHeight="false" outlineLevel="0" collapsed="false">
      <c r="A8" s="11" t="s">
        <v>81</v>
      </c>
      <c r="B8" s="15" t="s">
        <v>178</v>
      </c>
      <c r="C8" s="15" t="s">
        <v>176</v>
      </c>
      <c r="D8" s="15" t="s">
        <v>178</v>
      </c>
      <c r="E8" s="15" t="s">
        <v>178</v>
      </c>
      <c r="F8" s="15" t="s">
        <v>176</v>
      </c>
      <c r="G8" s="15" t="s">
        <v>175</v>
      </c>
      <c r="H8" s="15" t="s">
        <v>174</v>
      </c>
      <c r="I8" s="15" t="s">
        <v>174</v>
      </c>
      <c r="J8" s="15" t="s">
        <v>174</v>
      </c>
      <c r="K8" s="15" t="s">
        <v>175</v>
      </c>
      <c r="L8" s="15" t="s">
        <v>174</v>
      </c>
      <c r="M8" s="15" t="s">
        <v>178</v>
      </c>
      <c r="N8" s="15" t="s">
        <v>178</v>
      </c>
    </row>
    <row r="9" customFormat="false" ht="15" hidden="false" customHeight="false" outlineLevel="0" collapsed="false">
      <c r="A9" s="11" t="s">
        <v>91</v>
      </c>
      <c r="B9" s="15" t="s">
        <v>174</v>
      </c>
      <c r="C9" s="15" t="s">
        <v>174</v>
      </c>
      <c r="D9" s="15" t="s">
        <v>174</v>
      </c>
      <c r="E9" s="15" t="s">
        <v>178</v>
      </c>
      <c r="F9" s="15" t="s">
        <v>178</v>
      </c>
      <c r="G9" s="15" t="s">
        <v>175</v>
      </c>
      <c r="H9" s="15" t="s">
        <v>174</v>
      </c>
      <c r="I9" s="15" t="s">
        <v>178</v>
      </c>
      <c r="J9" s="15" t="s">
        <v>175</v>
      </c>
      <c r="K9" s="15" t="s">
        <v>174</v>
      </c>
      <c r="L9" s="15" t="s">
        <v>175</v>
      </c>
      <c r="M9" s="15" t="s">
        <v>176</v>
      </c>
      <c r="N9" s="15" t="s">
        <v>175</v>
      </c>
    </row>
    <row r="10" customFormat="false" ht="15" hidden="false" customHeight="false" outlineLevel="0" collapsed="false">
      <c r="A10" s="11" t="s">
        <v>98</v>
      </c>
      <c r="B10" s="15" t="s">
        <v>174</v>
      </c>
      <c r="C10" s="15" t="s">
        <v>174</v>
      </c>
      <c r="D10" s="15" t="s">
        <v>174</v>
      </c>
      <c r="E10" s="15" t="s">
        <v>178</v>
      </c>
      <c r="F10" s="15" t="s">
        <v>174</v>
      </c>
      <c r="G10" s="15" t="s">
        <v>175</v>
      </c>
      <c r="H10" s="15" t="s">
        <v>174</v>
      </c>
      <c r="I10" s="15" t="s">
        <v>174</v>
      </c>
      <c r="J10" s="15" t="s">
        <v>174</v>
      </c>
      <c r="K10" s="15" t="s">
        <v>175</v>
      </c>
      <c r="L10" s="15" t="s">
        <v>175</v>
      </c>
      <c r="M10" s="15" t="s">
        <v>175</v>
      </c>
      <c r="N10" s="15" t="s">
        <v>176</v>
      </c>
    </row>
    <row r="11" customFormat="false" ht="15" hidden="false" customHeight="false" outlineLevel="0" collapsed="false">
      <c r="A11" s="11" t="s">
        <v>106</v>
      </c>
      <c r="B11" s="15" t="s">
        <v>174</v>
      </c>
      <c r="C11" s="15" t="s">
        <v>174</v>
      </c>
      <c r="D11" s="15" t="s">
        <v>174</v>
      </c>
      <c r="E11" s="15" t="s">
        <v>175</v>
      </c>
      <c r="F11" s="15" t="s">
        <v>175</v>
      </c>
      <c r="G11" s="15" t="s">
        <v>175</v>
      </c>
      <c r="H11" s="15" t="s">
        <v>175</v>
      </c>
      <c r="I11" s="15" t="s">
        <v>175</v>
      </c>
      <c r="J11" s="15" t="s">
        <v>175</v>
      </c>
      <c r="K11" s="15" t="s">
        <v>176</v>
      </c>
      <c r="L11" s="15" t="s">
        <v>174</v>
      </c>
      <c r="M11" s="15" t="s">
        <v>175</v>
      </c>
      <c r="N11" s="15" t="s">
        <v>174</v>
      </c>
    </row>
    <row r="12" customFormat="false" ht="15" hidden="false" customHeight="false" outlineLevel="0" collapsed="false">
      <c r="A12" s="11" t="s">
        <v>114</v>
      </c>
      <c r="B12" s="15" t="s">
        <v>178</v>
      </c>
      <c r="C12" s="15" t="s">
        <v>178</v>
      </c>
      <c r="D12" s="15" t="s">
        <v>178</v>
      </c>
      <c r="E12" s="15" t="s">
        <v>178</v>
      </c>
      <c r="F12" s="15" t="s">
        <v>178</v>
      </c>
      <c r="G12" s="15" t="s">
        <v>175</v>
      </c>
      <c r="H12" s="15" t="s">
        <v>178</v>
      </c>
      <c r="I12" s="15" t="s">
        <v>175</v>
      </c>
      <c r="J12" s="15" t="s">
        <v>178</v>
      </c>
      <c r="K12" s="15" t="s">
        <v>178</v>
      </c>
      <c r="L12" s="15" t="s">
        <v>178</v>
      </c>
      <c r="M12" s="15" t="s">
        <v>178</v>
      </c>
      <c r="N12" s="15" t="s">
        <v>175</v>
      </c>
    </row>
    <row r="13" customFormat="false" ht="15" hidden="false" customHeight="false" outlineLevel="0" collapsed="false">
      <c r="A13" s="11" t="s">
        <v>123</v>
      </c>
      <c r="B13" s="15" t="s">
        <v>175</v>
      </c>
      <c r="C13" s="15" t="s">
        <v>175</v>
      </c>
      <c r="D13" s="15" t="s">
        <v>178</v>
      </c>
      <c r="E13" s="15" t="s">
        <v>175</v>
      </c>
      <c r="F13" s="15" t="s">
        <v>175</v>
      </c>
      <c r="G13" s="15" t="s">
        <v>175</v>
      </c>
      <c r="H13" s="15" t="s">
        <v>178</v>
      </c>
      <c r="I13" s="15" t="s">
        <v>178</v>
      </c>
      <c r="J13" s="15" t="s">
        <v>178</v>
      </c>
      <c r="K13" s="15" t="s">
        <v>175</v>
      </c>
      <c r="L13" s="15" t="s">
        <v>178</v>
      </c>
      <c r="M13" s="15" t="s">
        <v>176</v>
      </c>
      <c r="N13" s="15" t="s">
        <v>174</v>
      </c>
    </row>
    <row r="14" customFormat="false" ht="15" hidden="false" customHeight="false" outlineLevel="0" collapsed="false">
      <c r="A14" s="11" t="s">
        <v>132</v>
      </c>
      <c r="B14" s="15" t="s">
        <v>178</v>
      </c>
      <c r="C14" s="15" t="s">
        <v>178</v>
      </c>
      <c r="D14" s="15" t="s">
        <v>178</v>
      </c>
      <c r="E14" s="15" t="s">
        <v>178</v>
      </c>
      <c r="F14" s="15" t="s">
        <v>175</v>
      </c>
      <c r="G14" s="15" t="s">
        <v>175</v>
      </c>
      <c r="H14" s="15" t="s">
        <v>178</v>
      </c>
      <c r="I14" s="15" t="s">
        <v>178</v>
      </c>
      <c r="J14" s="15" t="s">
        <v>175</v>
      </c>
      <c r="K14" s="15" t="s">
        <v>175</v>
      </c>
      <c r="L14" s="15" t="s">
        <v>176</v>
      </c>
      <c r="M14" s="15" t="s">
        <v>178</v>
      </c>
      <c r="N14" s="15" t="s">
        <v>174</v>
      </c>
    </row>
    <row r="15" customFormat="false" ht="15" hidden="false" customHeight="false" outlineLevel="0" collapsed="false">
      <c r="A15" s="11" t="s">
        <v>179</v>
      </c>
      <c r="B15" s="15" t="s">
        <v>178</v>
      </c>
      <c r="C15" s="15" t="s">
        <v>178</v>
      </c>
      <c r="D15" s="15" t="s">
        <v>178</v>
      </c>
      <c r="E15" s="15" t="s">
        <v>178</v>
      </c>
      <c r="F15" s="15" t="s">
        <v>178</v>
      </c>
      <c r="G15" s="15" t="s">
        <v>175</v>
      </c>
      <c r="H15" s="15" t="s">
        <v>178</v>
      </c>
      <c r="I15" s="15" t="s">
        <v>178</v>
      </c>
      <c r="J15" s="15" t="s">
        <v>175</v>
      </c>
      <c r="K15" s="15" t="s">
        <v>175</v>
      </c>
      <c r="L15" s="15" t="s">
        <v>178</v>
      </c>
      <c r="M15" s="15" t="s">
        <v>178</v>
      </c>
      <c r="N15" s="15" t="s">
        <v>174</v>
      </c>
    </row>
    <row r="16" customFormat="false" ht="15" hidden="false" customHeight="false" outlineLevel="0" collapsed="false">
      <c r="A16" s="16" t="s">
        <v>180</v>
      </c>
      <c r="B16" s="17" t="s">
        <v>175</v>
      </c>
      <c r="C16" s="17" t="s">
        <v>175</v>
      </c>
      <c r="D16" s="17" t="s">
        <v>175</v>
      </c>
      <c r="E16" s="17" t="s">
        <v>175</v>
      </c>
      <c r="F16" s="17" t="s">
        <v>175</v>
      </c>
      <c r="G16" s="17" t="s">
        <v>176</v>
      </c>
      <c r="H16" s="17" t="s">
        <v>175</v>
      </c>
      <c r="I16" s="17" t="s">
        <v>175</v>
      </c>
      <c r="J16" s="17" t="s">
        <v>175</v>
      </c>
      <c r="K16" s="17" t="s">
        <v>181</v>
      </c>
      <c r="L16" s="17" t="s">
        <v>174</v>
      </c>
      <c r="M16" s="17" t="s">
        <v>181</v>
      </c>
      <c r="N16" s="17" t="s">
        <v>175</v>
      </c>
    </row>
    <row r="18" customFormat="false" ht="15" hidden="false" customHeight="false" outlineLevel="0" collapsed="false">
      <c r="A18" s="11" t="s">
        <v>182</v>
      </c>
      <c r="B18" s="15" t="n">
        <f aca="false">COUNTIF(B2:B15,"Sim")</f>
        <v>1</v>
      </c>
      <c r="C18" s="15" t="n">
        <f aca="false">COUNTIF(C2:C15,"Sim")</f>
        <v>2</v>
      </c>
      <c r="D18" s="15" t="n">
        <f aca="false">COUNTIF(D2:D15,"Sim")</f>
        <v>0</v>
      </c>
      <c r="E18" s="15" t="n">
        <f aca="false">COUNTIF(E2:E15,"Sim")</f>
        <v>4</v>
      </c>
      <c r="F18" s="15" t="n">
        <f aca="false">COUNTIF(F2:F15,"Sim")</f>
        <v>9</v>
      </c>
      <c r="G18" s="15" t="n">
        <f aca="false">COUNTIF(G2:G15,"Sim")</f>
        <v>9</v>
      </c>
      <c r="H18" s="15" t="n">
        <f aca="false">COUNTIF(H2:H15,"Sim")</f>
        <v>5</v>
      </c>
      <c r="I18" s="15" t="n">
        <f aca="false">COUNTIF(I2:I15,"Sim")</f>
        <v>5</v>
      </c>
      <c r="J18" s="15" t="n">
        <f aca="false">COUNTIF(J2:J15,"Sim")</f>
        <v>10</v>
      </c>
      <c r="K18" s="15" t="n">
        <f aca="false">COUNTIF(K2:K15,"Sim")</f>
        <v>10</v>
      </c>
      <c r="L18" s="15" t="n">
        <f aca="false">COUNTIF(L2:L15,"Sim")</f>
        <v>5</v>
      </c>
      <c r="M18" s="15" t="n">
        <f aca="false">COUNTIF(M2:M15,"Sim")</f>
        <v>2</v>
      </c>
      <c r="N18" s="15" t="n">
        <f aca="false">COUNTIF(N2:N15,"Sim")</f>
        <v>6</v>
      </c>
    </row>
    <row r="19" customFormat="false" ht="15" hidden="false" customHeight="false" outlineLevel="0" collapsed="false">
      <c r="A19" s="11" t="s">
        <v>183</v>
      </c>
      <c r="B19" s="15" t="n">
        <f aca="false">COUNTIF(B2:B15,"Parcial")</f>
        <v>1</v>
      </c>
      <c r="C19" s="15" t="n">
        <f aca="false">COUNTIF(C2:C15,"Parcial")</f>
        <v>1</v>
      </c>
      <c r="D19" s="15" t="n">
        <f aca="false">COUNTIF(D2:D15,"Parcial")</f>
        <v>0</v>
      </c>
      <c r="E19" s="15" t="n">
        <f aca="false">COUNTIF(E2:E15,"Parcial")</f>
        <v>0</v>
      </c>
      <c r="F19" s="15" t="n">
        <f aca="false">COUNTIF(F2:F15,"Parcial")</f>
        <v>1</v>
      </c>
      <c r="G19" s="15" t="n">
        <f aca="false">COUNTIF(G2:G15,"Parcial")</f>
        <v>3</v>
      </c>
      <c r="H19" s="15" t="n">
        <f aca="false">COUNTIF(H2:H15,"Parcial")</f>
        <v>0</v>
      </c>
      <c r="I19" s="15" t="n">
        <f aca="false">COUNTIF(I2:I15,"Parcial")</f>
        <v>2</v>
      </c>
      <c r="J19" s="15" t="n">
        <f aca="false">COUNTIF(J2:J15,"Parcial")</f>
        <v>0</v>
      </c>
      <c r="K19" s="15" t="n">
        <f aca="false">COUNTIF(K2:K15,"Parcial")</f>
        <v>2</v>
      </c>
      <c r="L19" s="15" t="n">
        <f aca="false">COUNTIF(L2:L15,"Parcial")</f>
        <v>1</v>
      </c>
      <c r="M19" s="15" t="n">
        <f aca="false">COUNTIF(M2:M15,"Parcial")</f>
        <v>4</v>
      </c>
      <c r="N19" s="15" t="n">
        <f aca="false">COUNTIF(N2:N15,"Parcial")</f>
        <v>3</v>
      </c>
    </row>
    <row r="20" customFormat="false" ht="15" hidden="false" customHeight="false" outlineLevel="0" collapsed="false">
      <c r="A20" s="11" t="s">
        <v>184</v>
      </c>
      <c r="B20" s="15" t="n">
        <f aca="false">COUNTIF(B2:B15,"?")</f>
        <v>4</v>
      </c>
      <c r="C20" s="15" t="n">
        <f aca="false">COUNTIF(C2:C15,"?")</f>
        <v>4</v>
      </c>
      <c r="D20" s="15" t="n">
        <f aca="false">COUNTIF(D2:D15,"?")</f>
        <v>6</v>
      </c>
      <c r="E20" s="15" t="n">
        <f aca="false">COUNTIF(E2:E15,"?")</f>
        <v>7</v>
      </c>
      <c r="F20" s="15" t="n">
        <f aca="false">COUNTIF(F2:F15,"?")</f>
        <v>3</v>
      </c>
      <c r="G20" s="15" t="n">
        <f aca="false">COUNTIF(G2:G15,"?")</f>
        <v>0</v>
      </c>
      <c r="H20" s="15" t="n">
        <f aca="false">COUNTIF(H2:H15,"?")</f>
        <v>4</v>
      </c>
      <c r="I20" s="15" t="n">
        <f aca="false">COUNTIF(I2:I15,"?")</f>
        <v>5</v>
      </c>
      <c r="J20" s="15" t="n">
        <f aca="false">COUNTIF(J2:J15,"?")</f>
        <v>2</v>
      </c>
      <c r="K20" s="15" t="n">
        <f aca="false">COUNTIF(K2:K15,"?")</f>
        <v>1</v>
      </c>
      <c r="L20" s="15" t="n">
        <f aca="false">COUNTIF(L2:L15,"?")</f>
        <v>5</v>
      </c>
      <c r="M20" s="15" t="n">
        <f aca="false">COUNTIF(M2:M15,"?")</f>
        <v>4</v>
      </c>
      <c r="N20" s="15" t="n">
        <f aca="false">COUNTIF(N2:N15,"?")</f>
        <v>1</v>
      </c>
    </row>
    <row r="21" customFormat="false" ht="15" hidden="false" customHeight="false" outlineLevel="0" collapsed="false">
      <c r="A21" s="11" t="s">
        <v>185</v>
      </c>
      <c r="B21" s="18" t="n">
        <f aca="false">IF(COUNTA(B2:B15)=0,0,B18/COUNTA(B2:B15))</f>
        <v>0.0714285714285714</v>
      </c>
      <c r="C21" s="18" t="n">
        <f aca="false">IF(COUNTA(C2:C15)=0,0,C18/COUNTA(C2:C15))</f>
        <v>0.142857142857143</v>
      </c>
      <c r="D21" s="18" t="n">
        <f aca="false">IF(COUNTA(D2:D15)=0,0,D18/COUNTA(D2:D15))</f>
        <v>0</v>
      </c>
      <c r="E21" s="18" t="n">
        <f aca="false">IF(COUNTA(E2:E15)=0,0,E18/COUNTA(E2:E15))</f>
        <v>0.285714285714286</v>
      </c>
      <c r="F21" s="18" t="n">
        <f aca="false">IF(COUNTA(F2:F15)=0,0,F18/COUNTA(F2:F15))</f>
        <v>0.642857142857143</v>
      </c>
      <c r="G21" s="18" t="n">
        <f aca="false">IF(COUNTA(G2:G15)=0,0,G18/COUNTA(G2:G15))</f>
        <v>0.642857142857143</v>
      </c>
      <c r="H21" s="18" t="n">
        <f aca="false">IF(COUNTA(H2:H15)=0,0,H18/COUNTA(H2:H15))</f>
        <v>0.357142857142857</v>
      </c>
      <c r="I21" s="18" t="n">
        <f aca="false">IF(COUNTA(I2:I15)=0,0,I18/COUNTA(I2:I15))</f>
        <v>0.357142857142857</v>
      </c>
      <c r="J21" s="18" t="n">
        <f aca="false">IF(COUNTA(J2:J15)=0,0,J18/COUNTA(J2:J15))</f>
        <v>0.714285714285714</v>
      </c>
      <c r="K21" s="18" t="n">
        <f aca="false">IF(COUNTA(K2:K15)=0,0,K18/COUNTA(K2:K15))</f>
        <v>0.714285714285714</v>
      </c>
      <c r="L21" s="18" t="n">
        <f aca="false">IF(COUNTA(L2:L15)=0,0,L18/COUNTA(L2:L15))</f>
        <v>0.357142857142857</v>
      </c>
      <c r="M21" s="18" t="n">
        <f aca="false">IF(COUNTA(M2:M15)=0,0,M18/COUNTA(M2:M15))</f>
        <v>0.142857142857143</v>
      </c>
      <c r="N21" s="18" t="n">
        <f aca="false">IF(COUNTA(N2:N15)=0,0,N18/COUNTA(N2:N15))</f>
        <v>0.428571428571429</v>
      </c>
    </row>
    <row r="22" customFormat="false" ht="27.75" hidden="false" customHeight="true" outlineLevel="0" collapsed="false">
      <c r="A22" s="11" t="s">
        <v>186</v>
      </c>
      <c r="B22" s="19" t="str">
        <f aca="false">IF(B18&lt;=1,"Raro: diferencial",IF(B21&gt;=0.5,"Básico do mercado","Comum"))</f>
        <v>Raro: diferencial</v>
      </c>
      <c r="C22" s="19" t="str">
        <f aca="false">IF(C18&lt;=1,"Raro: diferencial",IF(C21&gt;=0.5,"Básico do mercado","Comum"))</f>
        <v>Comum</v>
      </c>
      <c r="D22" s="19" t="str">
        <f aca="false">IF(D18&lt;=1,"Raro: diferencial",IF(D21&gt;=0.5,"Básico do mercado","Comum"))</f>
        <v>Raro: diferencial</v>
      </c>
      <c r="E22" s="19" t="str">
        <f aca="false">IF(E18&lt;=1,"Raro: diferencial",IF(E21&gt;=0.5,"Básico do mercado","Comum"))</f>
        <v>Comum</v>
      </c>
      <c r="F22" s="19" t="str">
        <f aca="false">IF(F18&lt;=1,"Raro: diferencial",IF(F21&gt;=0.5,"Básico do mercado","Comum"))</f>
        <v>Básico do mercado</v>
      </c>
      <c r="G22" s="19" t="str">
        <f aca="false">IF(G18&lt;=1,"Raro: diferencial",IF(G21&gt;=0.5,"Básico do mercado","Comum"))</f>
        <v>Básico do mercado</v>
      </c>
      <c r="H22" s="19" t="str">
        <f aca="false">IF(H18&lt;=1,"Raro: diferencial",IF(H21&gt;=0.5,"Básico do mercado","Comum"))</f>
        <v>Comum</v>
      </c>
      <c r="I22" s="19" t="str">
        <f aca="false">IF(I18&lt;=1,"Raro: diferencial",IF(I21&gt;=0.5,"Básico do mercado","Comum"))</f>
        <v>Comum</v>
      </c>
      <c r="J22" s="19" t="str">
        <f aca="false">IF(J18&lt;=1,"Raro: diferencial",IF(J21&gt;=0.5,"Básico do mercado","Comum"))</f>
        <v>Básico do mercado</v>
      </c>
      <c r="K22" s="19" t="str">
        <f aca="false">IF(K18&lt;=1,"Raro: diferencial",IF(K21&gt;=0.5,"Básico do mercado","Comum"))</f>
        <v>Básico do mercado</v>
      </c>
      <c r="L22" s="19" t="str">
        <f aca="false">IF(L18&lt;=1,"Raro: diferencial",IF(L21&gt;=0.5,"Básico do mercado","Comum"))</f>
        <v>Comum</v>
      </c>
      <c r="M22" s="19" t="str">
        <f aca="false">IF(M18&lt;=1,"Raro: diferencial",IF(M21&gt;=0.5,"Básico do mercado","Comum"))</f>
        <v>Comum</v>
      </c>
      <c r="N22" s="19" t="str">
        <f aca="false">IF(N18&lt;=1,"Raro: diferencial",IF(N21&gt;=0.5,"Básico do mercado","Comum"))</f>
        <v>Comum</v>
      </c>
    </row>
    <row r="24" customFormat="false" ht="15" hidden="false" customHeight="false" outlineLevel="0" collapsed="false">
      <c r="A24" s="10" t="s">
        <v>187</v>
      </c>
    </row>
  </sheetData>
  <conditionalFormatting sqref="B2:N15">
    <cfRule type="cellIs" priority="2" operator="equal" aboveAverage="0" equalAverage="0" bottom="0" percent="0" rank="0" text="" dxfId="4">
      <formula>"Sim"</formula>
    </cfRule>
    <cfRule type="cellIs" priority="3" operator="equal" aboveAverage="0" equalAverage="0" bottom="0" percent="0" rank="0" text="" dxfId="5">
      <formula>"Parcial"</formula>
    </cfRule>
    <cfRule type="cellIs" priority="4" operator="equal" aboveAverage="0" equalAverage="0" bottom="0" percent="0" rank="0" text="" dxfId="6">
      <formula>"Não"</formula>
    </cfRule>
    <cfRule type="cellIs" priority="5" operator="equal" aboveAverage="0" equalAverage="0" bottom="0" percent="0" rank="0" text="" dxfId="7">
      <formula>"?"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20" t="s">
        <v>188</v>
      </c>
    </row>
    <row r="3" customFormat="false" ht="15" hidden="false" customHeight="false" outlineLevel="0" collapsed="false">
      <c r="A3" s="11" t="s">
        <v>189</v>
      </c>
      <c r="B3" s="21" t="n">
        <v>5.4</v>
      </c>
      <c r="C3" s="2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2026-10-06T18:48:26Z</dcterms:created>
  <dc:creator>openpyxl</dc:creator>
  <dc:description/>
  <dc:language>pt-BR</dc:language>
  <cp:lastModifiedBy/>
  <dcterms:modified xsi:type="dcterms:W3CDTF">2026-10-06T18:48:26Z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